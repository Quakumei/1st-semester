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ruzhelubnyy\Desktop\GitRepos\1st-year-assignments\ЦГ\excel\"/>
    </mc:Choice>
  </mc:AlternateContent>
  <xr:revisionPtr revIDLastSave="0" documentId="13_ncr:1_{82002A32-68D9-4104-8484-B5E8CD3E7046}" xr6:coauthVersionLast="47" xr6:coauthVersionMax="47" xr10:uidLastSave="{00000000-0000-0000-0000-000000000000}"/>
  <bookViews>
    <workbookView xWindow="7950" yWindow="345" windowWidth="13335" windowHeight="9840" firstSheet="8" activeTab="9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F7" i="10"/>
  <c r="F18" i="10"/>
  <c r="F16" i="10"/>
  <c r="A1" i="10" a="1"/>
  <c r="A1" i="10" s="1"/>
  <c r="B4" i="10"/>
  <c r="C3" i="10"/>
  <c r="B8" i="10" a="1"/>
  <c r="B8" i="10" l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<sst xmlns="http://schemas.openxmlformats.org/spreadsheetml/2006/main" count="274" uniqueCount="143">
  <si>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</si>
  <si>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</si>
  <si>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</si>
  <si>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</si>
  <si>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</si>
  <si>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</si>
  <si>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</si>
  <si>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</si>
  <si>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</si>
  <si>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</si>
  <si>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</si>
  <si>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</si>
  <si>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</si>
  <si>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</si>
  <si>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</si>
  <si>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</si>
  <si>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</si>
  <si>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</si>
  <si>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</si>
  <si>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</si>
  <si>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</si>
  <si>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</si>
  <si>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</si>
  <si>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</si>
  <si>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</si>
  <si>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</si>
  <si>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</si>
  <si>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</si>
  <si>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</si>
  <si>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</si>
  <si>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</si>
  <si>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</si>
  <si>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</si>
  <si>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</si>
  <si>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</si>
  <si>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</si>
  <si>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</si>
  <si>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</si>
  <si>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</si>
  <si>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</si>
  <si>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</si>
  <si>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</si>
  <si>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</si>
  <si>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</si>
  <si>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</si>
  <si>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</si>
  <si>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</si>
  <si>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</si>
  <si>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</si>
  <si>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</si>
  <si>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</si>
  <si>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</si>
  <si>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</si>
  <si>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</si>
  <si>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</si>
  <si>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</si>
  <si>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</si>
  <si>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</si>
  <si>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</si>
  <si>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</si>
  <si>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</si>
  <si>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</si>
  <si>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</si>
  <si>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</si>
  <si>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</si>
  <si>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</si>
  <si>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</si>
  <si>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</si>
  <si>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</si>
  <si>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</si>
  <si>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</si>
  <si>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</si>
  <si>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</si>
  <si>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</si>
  <si>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</si>
  <si>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</si>
  <si>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</si>
  <si>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</si>
  <si>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</si>
  <si>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</si>
  <si>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</si>
  <si>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</si>
  <si>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</si>
  <si>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</si>
  <si>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</si>
  <si>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</si>
  <si>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</si>
  <si>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</si>
  <si>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</si>
  <si>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</si>
  <si>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</si>
  <si>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</si>
  <si>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</si>
  <si>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</si>
  <si>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</si>
  <si>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</si>
  <si>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</si>
  <si>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</si>
  <si>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</si>
  <si>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</si>
  <si>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</si>
  <si>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</si>
  <si>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</si>
  <si>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</si>
  <si>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</si>
  <si>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</si>
  <si>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</si>
  <si>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</si>
  <si>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</si>
  <si>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</si>
  <si>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</si>
  <si>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</si>
  <si>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</si>
  <si>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</si>
  <si>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</si>
  <si>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</si>
  <si>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</si>
  <si>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</si>
  <si>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</si>
  <si>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</si>
  <si>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</si>
  <si>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</si>
  <si>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</si>
  <si>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</si>
  <si>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</si>
  <si>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</si>
  <si>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</si>
  <si>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</si>
  <si>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</si>
  <si>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</si>
  <si>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</si>
  <si>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</si>
  <si>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</si>
  <si>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</si>
  <si>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</si>
  <si>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</si>
  <si>
    <t>Число выплат</t>
  </si>
  <si>
    <t>Размер ссуды</t>
  </si>
  <si>
    <t>Размер одной выплаты</t>
  </si>
  <si>
    <t>Процентная ставка</t>
  </si>
  <si>
    <t>Текущий объем ссуды</t>
  </si>
  <si>
    <t>Маргинальная процентная ставка</t>
  </si>
  <si>
    <t>Маргинальный чистый объем ссуды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</si>
</sst>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₽&quot;;[Red]\-#,##0.00\ &quot;₽&quot;"/>
    <numFmt numFmtId="164" formatCode="#,##0.00\ _₽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  <xf numFmtId="8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53" t="s">
        <v>17</v>
      </c>
      <c r="D3" s="54"/>
      <c r="E3" s="54"/>
      <c r="F3" s="54"/>
      <c r="G3" s="55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56" t="s">
        <v>51</v>
      </c>
      <c r="D4" s="57"/>
      <c r="E4" s="57"/>
      <c r="F4" s="57"/>
      <c r="G4" s="57"/>
      <c r="H4" s="58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59" t="s">
        <v>121</v>
      </c>
      <c r="B1" s="60"/>
      <c r="C1" s="60"/>
      <c r="D1" s="60"/>
      <c r="E1" s="60"/>
      <c r="F1" s="61"/>
    </row>
    <row r="2" spans="1:11" ht="15.75" thickBot="1" x14ac:dyDescent="0.3">
      <c r="A2" s="62"/>
      <c r="B2" s="63"/>
      <c r="C2" s="63"/>
      <c r="D2" s="63"/>
      <c r="E2" s="63"/>
      <c r="F2" s="64"/>
    </row>
    <row r="3" spans="1:11" x14ac:dyDescent="0.25">
      <c r="A3" s="62"/>
      <c r="B3" s="63"/>
      <c r="C3" s="63"/>
      <c r="D3" s="63"/>
      <c r="E3" s="63"/>
      <c r="F3" s="65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66"/>
      <c r="B18" s="66"/>
      <c r="C18" s="66"/>
      <c r="D18" s="66"/>
      <c r="E18" s="66"/>
      <c r="F18" s="66"/>
      <c r="G18" s="47"/>
      <c r="H18" s="47"/>
      <c r="I18" s="47"/>
      <c r="J18" s="47"/>
      <c r="K18" s="47"/>
    </row>
    <row r="19" spans="1:11" x14ac:dyDescent="0.25">
      <c r="A19" s="66"/>
      <c r="B19" s="66"/>
      <c r="C19" s="66"/>
      <c r="D19" s="66"/>
      <c r="E19" s="66"/>
      <c r="F19" s="66"/>
      <c r="G19" s="47"/>
      <c r="H19" s="47"/>
      <c r="I19" s="47"/>
      <c r="J19" s="47"/>
      <c r="K19" s="47"/>
    </row>
    <row r="20" spans="1:11" x14ac:dyDescent="0.25">
      <c r="A20" s="66"/>
      <c r="B20" s="66"/>
      <c r="C20" s="66"/>
      <c r="D20" s="66"/>
      <c r="E20" s="66"/>
      <c r="F20" s="66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A1:G29"/>
  <sheetViews>
    <sheetView tabSelected="1" workbookViewId="0">
      <selection activeCell="E12" sqref="E12:F18"/>
    </sheetView>
  </sheetViews>
  <sheetFormatPr defaultRowHeight="15" x14ac:dyDescent="0.25"/>
  <cols>
    <col min="5" max="5" width="34.5703125" bestFit="1" customWidth="1"/>
    <col min="6" max="6" width="25.7109375" customWidth="1"/>
  </cols>
  <sheetData>
    <row r="1" spans="1:6" x14ac:dyDescent="0.25">
      <c r="A1" t="e" cm="1">
        <f t="array" ref="A1">Стоимость</f>
        <v>#NAME?</v>
      </c>
    </row>
    <row r="3" spans="1:6" x14ac:dyDescent="0.25">
      <c r="B3">
        <v>28.647889756541201</v>
      </c>
      <c r="C3">
        <f>PI()</f>
        <v>3.1415926535897931</v>
      </c>
      <c r="E3" t="s">
        <v>136</v>
      </c>
      <c r="F3">
        <v>6</v>
      </c>
    </row>
    <row r="4" spans="1:6" x14ac:dyDescent="0.25">
      <c r="B4">
        <f>B3*C3 /180</f>
        <v>0.50000000000000067</v>
      </c>
      <c r="E4" t="s">
        <v>137</v>
      </c>
      <c r="F4">
        <v>10000</v>
      </c>
    </row>
    <row r="5" spans="1:6" x14ac:dyDescent="0.25">
      <c r="B5">
        <v>1000</v>
      </c>
      <c r="E5" t="s">
        <v>138</v>
      </c>
      <c r="F5">
        <v>2003</v>
      </c>
    </row>
    <row r="6" spans="1:6" x14ac:dyDescent="0.25">
      <c r="B6">
        <v>5</v>
      </c>
      <c r="E6" t="s">
        <v>139</v>
      </c>
      <c r="F6">
        <v>7.0000000000000007E-2</v>
      </c>
    </row>
    <row r="7" spans="1:6" x14ac:dyDescent="0.25">
      <c r="B7" t="b">
        <v>1</v>
      </c>
      <c r="E7" t="s">
        <v>140</v>
      </c>
      <c r="F7" s="67">
        <f>PV(F6,F3,-F5)</f>
        <v>9547.3789385075052</v>
      </c>
    </row>
    <row r="8" spans="1:6" x14ac:dyDescent="0.25">
      <c r="B8" cm="1">
        <f t="array" ref="B8">Стоимость(B5,B6,B7)</f>
        <v>4750</v>
      </c>
      <c r="E8" t="s">
        <v>141</v>
      </c>
      <c r="F8">
        <v>5.519075433053821E-2</v>
      </c>
    </row>
    <row r="9" spans="1:6" x14ac:dyDescent="0.25">
      <c r="E9" t="s">
        <v>142</v>
      </c>
      <c r="F9" s="67">
        <f>PV(F8,F3,-F5)</f>
        <v>9999.9999142092711</v>
      </c>
    </row>
    <row r="12" spans="1:6" x14ac:dyDescent="0.25">
      <c r="E12" t="s">
        <v>136</v>
      </c>
      <c r="F12">
        <v>6</v>
      </c>
    </row>
    <row r="13" spans="1:6" x14ac:dyDescent="0.25">
      <c r="E13" t="s">
        <v>137</v>
      </c>
      <c r="F13">
        <v>10000</v>
      </c>
    </row>
    <row r="14" spans="1:6" x14ac:dyDescent="0.25">
      <c r="E14" t="s">
        <v>138</v>
      </c>
      <c r="F14">
        <v>2000</v>
      </c>
    </row>
    <row r="15" spans="1:6" x14ac:dyDescent="0.25">
      <c r="E15" t="s">
        <v>139</v>
      </c>
      <c r="F15">
        <v>7.0000000000000007E-2</v>
      </c>
    </row>
    <row r="16" spans="1:6" x14ac:dyDescent="0.25">
      <c r="E16" t="s">
        <v>140</v>
      </c>
      <c r="F16" s="67">
        <f>PV(F15,F12,-F14)</f>
        <v>9533.0793195282131</v>
      </c>
    </row>
    <row r="17" spans="5:7" x14ac:dyDescent="0.25">
      <c r="E17" t="s">
        <v>141</v>
      </c>
      <c r="F17">
        <v>5.4717928543839334E-2</v>
      </c>
    </row>
    <row r="18" spans="5:7" x14ac:dyDescent="0.25">
      <c r="E18" t="s">
        <v>142</v>
      </c>
      <c r="F18" s="67">
        <f>PV(F17,F12,-F14)</f>
        <v>9999.9998883585158</v>
      </c>
    </row>
    <row r="29" spans="5:7" x14ac:dyDescent="0.25">
      <c r="G29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Илья Тампио Сергеевич</cp:lastModifiedBy>
  <dcterms:created xsi:type="dcterms:W3CDTF">2021-10-01T11:04:18Z</dcterms:created>
  <dcterms:modified xsi:type="dcterms:W3CDTF">2021-10-29T12:31:24Z</dcterms:modified>
</cp:coreProperties>
</file>